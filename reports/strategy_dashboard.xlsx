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90e7f00374fa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证据与就绪" sheetId="1" r:id="Rb0e50b2ee7b34b5f"/>
    <sheet name="未来KPI" sheetId="2" r:id="R073b236c80d84620"/>
  </sheets>
  <definedNames>
    <definedName name="_xlnm.Print_Area" localSheetId="0">'证据与就绪'!$B$2:$I$40</definedName>
    <definedName name="_xlnm.Print_Area" localSheetId="1">'未来KPI'!$B$2:$I$30</definedName>
  </definedNames>
</workbook>
</file>

<file path=xl/comments1.xml><?xml version="1.0" encoding="utf-8"?>
<x:comments xmlns:x="http://schemas.openxmlformats.org/spreadsheetml/2006/main">
  <x:authors>
    <x:author/>
  </x:authors>
  <x:commentList>
    <x:comment ref="C24" authorId="0">
      <x:text>
        <x:r>
          <x:t>Source: Q3 2024 shareholder letter. https://www.sec.gov/Archives/edgar/data/1562088/000156208824000248/q3fy24duolingo09-30x24shar.htm
Period: 2024-07-01/2024-09-30. million users; daily_average; global_company. Collected: 2026-09-30. Locator: p.8; Summary of Financial and Key Operating Metrics; DAU; web lines 124.</x:t>
        </x:r>
      </x:text>
    </x:comment>
    <x:comment ref="C25" authorId="0">
      <x:text>
        <x:r>
          <x:t>Source: Q4 2024 shareholder letter. https://www.sec.gov/Archives/edgar/data/1562088/000156208825000039/q4fy24duolingo12-31x24shar.htm
Period: 2024-10-01/2024-12-31. million users; daily_average; global_company. Collected: 2026-09-30. Locator: p.11; Summary of Financial and Key Operating Metrics; DAU; web lines 153.</x:t>
        </x:r>
      </x:text>
    </x:comment>
    <x:comment ref="C26" authorId="0">
      <x:text>
        <x:r>
          <x:t>Source: Q1 2025 shareholder letter. https://www.sec.gov/Archives/edgar/data/1562088/000156208825000098/q1fy25duolingo3-31x25share.htm
Period: 2025-01-01/2025-03-31. million users; daily_average; global_company. Collected: 2026-09-30. Locator: p.9; Summary of Financial and Key Operating Metrics; DAU; web lines 145.</x:t>
        </x:r>
      </x:text>
    </x:comment>
    <x:comment ref="C27" authorId="0">
      <x:text>
        <x:r>
          <x:t>Source: Q2 2025 shareholder letter. https://www.sec.gov/Archives/edgar/data/1562088/000156208825000165/q2fy25duolingo6-30x25share.htm
Period: 2025-04-01/2025-06-30. million users; daily_average; global_company. Collected: 2026-09-30. Locator: p.8; Summary of Financial and Key Operating Metrics; DAU; web lines 113.</x:t>
        </x:r>
      </x:text>
    </x:comment>
    <x:comment ref="C28" authorId="0">
      <x:text>
        <x:r>
          <x:t>Source: Q3 2025 shareholder letter. https://www.sec.gov/Archives/edgar/data/1562088/000162828025049514/q3fy25duolingo9-30x25share.htm
Period: 2025-07-01/2025-09-30. million users; daily_average; global_company. Collected: 2026-09-30. Locator: 摘要第7页DAU行，web L101.</x:t>
        </x:r>
      </x:text>
    </x:comment>
    <x:comment ref="C29" authorId="0">
      <x:text>
        <x:r>
          <x:t>Source: Q4 2025 shareholder letter. https://www.sec.gov/Archives/edgar/data/1562088/000162828026012246/q4fy25duolingo12-31x25shar.htm
Period: 2025-10-01/2025-12-31. million users; daily_average; global_company. Collected: 2026-09-30. Locator: 摘要第8页DAU行，web L126.</x:t>
        </x:r>
      </x:text>
    </x:comment>
    <x:comment ref="C30" authorId="0">
      <x:text>
        <x:r>
          <x:t>Source: Q1 2026 shareholder letter. https://www.sec.gov/Archives/edgar/data/1562088/000162828026029790/q1fy26duolingo3-31x26share.htm
Period: 2026-01-01/2026-03-31. million users; daily_average; global_company. Collected: 2026-09-30. Locator: 摘要第8页DAU行，web L121；定义第13页L230.</x:t>
        </x:r>
      </x:text>
    </x:comment>
    <x:comment ref="C31" authorId="0">
      <x:text>
        <x:r>
          <x:t>Source: Q2 2026 Form 10-Q. https://www.sec.gov/Archives/edgar/data/1562088/000162828026053603/duol-20260630.htm
Period: 2026-04-01/2026-06-30. million users; daily_average; global_company. Collected: 2026-09-30. Locator: MD&amp;A Key Operating Metrics, three months ended June 30, 2026; DAU row.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7">
    <x:font>
      <x:sz val="11"/>
      <x:name val="Carlito"/>
    </x:font>
    <x:font>
      <x:sz val="10"/>
      <x:color rgb="FF18323D"/>
      <x:name val="Microsoft YaHei"/>
    </x:font>
    <x:font>
      <x:b/>
      <x:sz val="15"/>
      <x:color rgb="FF18323D"/>
      <x:name val="Microsoft YaHei"/>
    </x:font>
    <x:font>
      <x:sz val="9"/>
      <x:color rgb="FF50626B"/>
      <x:name val="Microsoft YaHei"/>
    </x:font>
    <x:font>
      <x:b/>
      <x:sz val="10"/>
      <x:color rgb="FFFFFFFF"/>
      <x:name val="Microsoft YaHei"/>
    </x:font>
    <x:font>
      <x:b/>
      <x:sz val="10"/>
      <x:color rgb="FF18323D"/>
      <x:name val="Microsoft YaHei"/>
    </x:font>
    <x:font>
      <x:sz val="10"/>
      <x:color rgb="FF1E5C9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14755"/>
      </x:patternFill>
    </x:fill>
    <x:fill>
      <x:patternFill patternType="solid">
        <x:fgColor rgb="FFFFF0CE"/>
      </x:patternFill>
    </x:fill>
    <x:fill>
      <x:patternFill patternType="solid">
        <x:fgColor rgb="FFE8EFF1"/>
      </x:patternFill>
    </x:fill>
    <x:fill>
      <x:patternFill patternType="solid">
        <x:fgColor rgb="FFE3F1E7"/>
      </x:patternFill>
    </x:fill>
    <x:fill>
      <x:patternFill patternType="solid">
        <x:fgColor rgb="FFFBE1DE"/>
      </x:patternFill>
    </x:fill>
  </x:fills>
  <x:borders count="3">
    <x:border/>
    <x:border>
      <x:bottom style="thin">
        <x:color rgb="FFD8E0E3"/>
      </x:bottom>
    </x:border>
    <x:border>
      <x:bottom style="thin">
        <x:color rgb="FFD7B87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825400"/>
      </x:font>
      <x:fill>
        <x:patternFill patternType="solid">
          <x:bgColor rgb="FFFFF0CE"/>
        </x:patternFill>
      </x:fill>
    </x:dxf>
    <x:dxf>
      <x:font>
        <x:b/>
        <x:color rgb="FF9C3028"/>
      </x:font>
      <x:fill>
        <x:patternFill patternType="solid">
          <x:bgColor rgb="FFFBE1DE"/>
        </x:patternFill>
      </x:fill>
    </x:dxf>
    <x:dxf>
      <x:font>
        <x:b/>
        <x:color rgb="FF21633A"/>
      </x:font>
      <x:fill>
        <x:patternFill patternType="solid">
          <x:bgColor rgb="FFE3F1E7"/>
        </x:patternFill>
      </x:fill>
    </x:dxf>
    <x:dxf>
      <x:font>
        <x:b/>
        <x:color rgb="FF825400"/>
      </x:font>
      <x:fill>
        <x:patternFill patternType="solid">
          <x:bgColor rgb="FFFFF0CE"/>
        </x:patternFill>
      </x:fill>
    </x:dxf>
    <x:dxf>
      <x:font>
        <x:b/>
        <x:color rgb="FF9C3028"/>
      </x:font>
      <x:fill>
        <x:patternFill patternType="solid">
          <x:bgColor rgb="FFFBE1DE"/>
        </x:patternFill>
      </x:fill>
    </x:dxf>
    <x:dxf>
      <x:font>
        <x:b/>
        <x:color rgb="FF21633A"/>
      </x:font>
      <x:fill>
        <x:patternFill patternType="solid">
          <x:bgColor rgb="FFE3F1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3ce888f224a3b" /><Relationship Type="http://schemas.openxmlformats.org/officeDocument/2006/relationships/theme" Target="/xl/theme/theme1.xml" Id="R5880b684c3fb4ef2" /><Relationship Type="http://schemas.openxmlformats.org/officeDocument/2006/relationships/sharedStrings" Target="/xl/sharedStrings.xml" Id="R33ae8df7b1554541" /><Relationship Type="http://schemas.openxmlformats.org/officeDocument/2006/relationships/worksheet" Target="/xl/worksheets/sheet1.xml" Id="Rb0e50b2ee7b34b5f" /><Relationship Type="http://schemas.openxmlformats.org/officeDocument/2006/relationships/worksheet" Target="/xl/worksheets/sheet2.xml" Id="R073b236c80d846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7af07b165e47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公司季度日均DAU（百万）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DAU（百万）</c:v>
          </c:tx>
          <c:spPr>
            <a:ln xmlns:a="http://schemas.openxmlformats.org/drawingml/2006/main" w="19050">
              <a:solidFill>
                <a:srgbClr val="337D91"/>
              </a:solidFill>
              <a:prstDash val="solid"/>
            </a:ln>
          </c:spPr>
          <c:marker>
            <c:symbol val="none"/>
          </c:marker>
          <c:cat>
            <c:strRef>
              <c:f>'证据与就绪'!$B$24:$B$31</c:f>
              <c:strCache>
                <c:ptCount val="0"/>
              </c:strCache>
            </c:strRef>
          </c:cat>
          <c:val>
            <c:numRef>
              <c:f>'证据与就绪'!$C$24:$C$31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22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7af07b165e47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comments" Target="/xl/comments1.xml" Id="R119b1018360642bb" /><ns0:Relationship Type="http://schemas.openxmlformats.org/officeDocument/2006/relationships/vmlDrawing" Target="/xl/drawings/vmldrawing.vml" Id="R5dfa211b48634475" /><ns0:Relationship Type="http://schemas.openxmlformats.org/officeDocument/2006/relationships/drawing" Target="/xl/drawings/drawing1.xml" Id="Rf6dcc0bbafa64e47" /><ns0:Relationship Id="rIdMonitoringSource1" Type="http://schemas.openxmlformats.org/officeDocument/2006/relationships/hyperlink" Target="https://www.sec.gov/Archives/edgar/data/1562088/000156208824000248/q3fy24duolingo09-30x24shar.htm" TargetMode="External" /><ns0:Relationship Id="rIdMonitoringSource2" Type="http://schemas.openxmlformats.org/officeDocument/2006/relationships/hyperlink" Target="https://www.sec.gov/Archives/edgar/data/1562088/000156208825000039/q4fy24duolingo12-31x24shar.htm" TargetMode="External" /><ns0:Relationship Id="rIdMonitoringSource3" Type="http://schemas.openxmlformats.org/officeDocument/2006/relationships/hyperlink" Target="https://www.sec.gov/Archives/edgar/data/1562088/000156208825000098/q1fy25duolingo3-31x25share.htm" TargetMode="External" /><ns0:Relationship Id="rIdMonitoringSource4" Type="http://schemas.openxmlformats.org/officeDocument/2006/relationships/hyperlink" Target="https://www.sec.gov/Archives/edgar/data/1562088/000156208825000165/q2fy25duolingo6-30x25share.htm" TargetMode="External" /><ns0:Relationship Id="rIdMonitoringSource5" Type="http://schemas.openxmlformats.org/officeDocument/2006/relationships/hyperlink" Target="https://www.sec.gov/Archives/edgar/data/1562088/000162828025049514/q3fy25duolingo9-30x25share.htm" TargetMode="External" /><ns0:Relationship Id="rIdMonitoringSource6" Type="http://schemas.openxmlformats.org/officeDocument/2006/relationships/hyperlink" Target="https://www.sec.gov/Archives/edgar/data/1562088/000162828026012246/q4fy25duolingo12-31x25shar.htm" TargetMode="External" /><ns0:Relationship Id="rIdMonitoringSource7" Type="http://schemas.openxmlformats.org/officeDocument/2006/relationships/hyperlink" Target="https://www.sec.gov/Archives/edgar/data/1562088/000162828026029790/q1fy26duolingo3-31x26share.htm" TargetMode="External" /><ns0:Relationship Id="rIdMonitoringSource8" Type="http://schemas.openxmlformats.org/officeDocument/2006/relationships/hyperlink" Target="https://www.sec.gov/Archives/edgar/data/1562088/000162828026053603/duol-20260630.htm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14755"/>
    <pageSetUpPr fitToPage="1"/>
  </sheetPr>
  <sheetViews>
    <sheetView showGridLines="0" workbookViewId="0"/>
  </sheetViews>
  <sheetFormatPr defaultRowHeight="15"/>
  <cols>
    <col min="1" max="1" width="1.75" hidden="0" customWidth="1"/>
    <col min="10" max="10" width="1.75" hidden="0" customWidth="1"/>
    <col min="2" max="2" width="13.75" hidden="0" customWidth="1"/>
    <col min="3" max="3" width="13.75" hidden="0" customWidth="1"/>
    <col min="4" max="4" width="13.75" hidden="0" customWidth="1"/>
    <col min="5" max="5" width="13.75" hidden="0" customWidth="1"/>
    <col min="6" max="6" width="13.75" hidden="0" customWidth="1"/>
    <col min="7" max="7" width="13.75" hidden="0" customWidth="1"/>
    <col min="8" max="8" width="13.75" hidden="0" customWidth="1"/>
    <col min="9" max="9" width="13.75" hidden="0" customWidth="1"/>
  </cols>
  <sheetData>
    <row r="1" ht="6.7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1" customHeight="1">
      <c r="A2" s="3"/>
      <c r="B2" s="4" t="str">
        <v>Speaking / Video Call 扩张监控设计</v>
      </c>
      <c r="C2" s="4" t="str">
        <v>Speaking / Video Call 扩张监控设计</v>
      </c>
      <c r="D2" s="4" t="str">
        <v>Speaking / Video Call 扩张监控设计</v>
      </c>
      <c r="E2" s="4" t="str">
        <v>Speaking / Video Call 扩张监控设计</v>
      </c>
      <c r="F2" s="4" t="str">
        <v>Speaking / Video Call 扩张监控设计</v>
      </c>
      <c r="G2" s="4" t="str">
        <v>Speaking / Video Call 扩张监控设计</v>
      </c>
      <c r="H2" s="4" t="str">
        <v>Speaking / Video Call 扩张监控设计</v>
      </c>
      <c r="I2" s="4" t="str">
        <v>Speaking / Video Call 扩张监控设计</v>
      </c>
      <c r="J2" s="3"/>
    </row>
    <row r="3" ht="18.75" customHeight="1">
      <c r="A3" s="3"/>
      <c r="B3" s="5" t="str">
        <v>外部公开资料分析。设计快照 v1.0，2026-10-03。公司数据截至 2026-06-30，证据截至 2026-10-02。</v>
      </c>
      <c r="C3" s="5" t="str">
        <v>外部公开资料分析。设计快照 v1.0，2026-10-03。公司数据截至 2026-06-30，证据截至 2026-10-02。</v>
      </c>
      <c r="D3" s="5" t="str">
        <v>外部公开资料分析。设计快照 v1.0，2026-10-03。公司数据截至 2026-06-30，证据截至 2026-10-02。</v>
      </c>
      <c r="E3" s="5" t="str">
        <v>外部公开资料分析。设计快照 v1.0，2026-10-03。公司数据截至 2026-06-30，证据截至 2026-10-02。</v>
      </c>
      <c r="F3" s="5" t="str">
        <v>外部公开资料分析。设计快照 v1.0，2026-10-03。公司数据截至 2026-06-30，证据截至 2026-10-02。</v>
      </c>
      <c r="G3" s="5" t="str">
        <v>外部公开资料分析。设计快照 v1.0，2026-10-03。公司数据截至 2026-06-30，证据截至 2026-10-02。</v>
      </c>
      <c r="H3" s="5" t="str">
        <v>外部公开资料分析。设计快照 v1.0，2026-10-03。公司数据截至 2026-06-30，证据截至 2026-10-02。</v>
      </c>
      <c r="I3" s="5" t="str">
        <v>外部公开资料分析。设计快照 v1.0，2026-10-03。公司数据截至 2026-06-30，证据截至 2026-10-02。</v>
      </c>
      <c r="J3" s="3"/>
    </row>
    <row r="4" ht="6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21" customHeight="1">
      <c r="A5" s="3"/>
      <c r="B5" s="3" t="str">
        <f>'未来KPI'!B5</f>
        <v>黄色：未就绪</v>
      </c>
      <c r="C5" s="3"/>
      <c r="D5" s="3"/>
      <c r="E5" s="3"/>
      <c r="F5" s="3"/>
      <c r="G5" s="3"/>
      <c r="H5" s="3"/>
      <c r="I5" s="3"/>
      <c r="J5" s="3"/>
    </row>
    <row r="6" ht="21.75" customHeight="1">
      <c r="A6" s="3"/>
      <c r="B6" s="3" t="str">
        <v>当前没有执行权益试验、采集内部结果或上线监控。H1研究任务优先，P1仍需确认真实新增资格与实施权限。</v>
      </c>
      <c r="C6" s="3" t="str">
        <v>当前没有执行权益试验、采集内部结果或上线监控。H1研究任务优先，P1仍需确认真实新增资格与实施权限。</v>
      </c>
      <c r="D6" s="3" t="str">
        <v>当前没有执行权益试验、采集内部结果或上线监控。H1研究任务优先，P1仍需确认真实新增资格与实施权限。</v>
      </c>
      <c r="E6" s="3" t="str">
        <v>当前没有执行权益试验、采集内部结果或上线监控。H1研究任务优先，P1仍需确认真实新增资格与实施权限。</v>
      </c>
      <c r="F6" s="3" t="str">
        <v>当前没有执行权益试验、采集内部结果或上线监控。H1研究任务优先，P1仍需确认真实新增资格与实施权限。</v>
      </c>
      <c r="G6" s="3" t="str">
        <v>当前没有执行权益试验、采集内部结果或上线监控。H1研究任务优先，P1仍需确认真实新增资格与实施权限。</v>
      </c>
      <c r="H6" s="3" t="str">
        <v>当前没有执行权益试验、采集内部结果或上线监控。H1研究任务优先，P1仍需确认真实新增资格与实施权限。</v>
      </c>
      <c r="I6" s="3" t="str">
        <v>当前没有执行权益试验、采集内部结果或上线监控。H1研究任务优先，P1仍需确认真实新增资格与实施权限。</v>
      </c>
      <c r="J6" s="3"/>
    </row>
    <row r="7" ht="6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7.25" customHeight="1">
      <c r="A8" s="3"/>
      <c r="B8" s="7" t="str">
        <v>就绪条件</v>
      </c>
      <c r="C8" s="7" t="str">
        <v>就绪条件</v>
      </c>
      <c r="D8" s="7" t="str">
        <v>就绪条件</v>
      </c>
      <c r="E8" s="7" t="str">
        <v>当前状态</v>
      </c>
      <c r="F8" s="7" t="str">
        <v>证据与缺口</v>
      </c>
      <c r="G8" s="7" t="str">
        <v>证据与缺口</v>
      </c>
      <c r="H8" s="7" t="str">
        <v>下一行动</v>
      </c>
      <c r="I8" s="7" t="str">
        <v>下一行动</v>
      </c>
      <c r="J8" s="3"/>
    </row>
    <row r="9" ht="14.25" customHeight="1">
      <c r="A9" s="3"/>
      <c r="B9" s="3" t="str">
        <v>实际P0与新增权益</v>
      </c>
      <c r="C9" s="3" t="str">
        <v>实际P0与新增权益</v>
      </c>
      <c r="D9" s="3" t="str">
        <v>实际P0与新增权益</v>
      </c>
      <c r="E9" s="8" t="str">
        <v>未就绪</v>
      </c>
      <c r="F9" s="3" t="str">
        <v>总体Super推出陈述不能核实目标账户、角色和额度。</v>
      </c>
      <c r="G9" s="3" t="str">
        <v>总体Super推出陈述不能核实目标账户、角色和额度。</v>
      </c>
      <c r="H9" s="3" t="str">
        <v>先核资格表与日期。核实无增量则停止该政策定义。</v>
      </c>
      <c r="I9" s="3" t="str">
        <v>先核资格表与日期。核实无增量则停止该政策定义。</v>
      </c>
      <c r="J9" s="3"/>
    </row>
    <row r="10" ht="14.25" customHeight="1">
      <c r="A10" s="3"/>
      <c r="B10" s="9" t="str">
        <v>实际P0与新增权益</v>
      </c>
      <c r="C10" s="9" t="str">
        <v>实际P0与新增权益</v>
      </c>
      <c r="D10" s="9" t="str">
        <v>实际P0与新增权益</v>
      </c>
      <c r="E10" s="10" t="str">
        <v>未就绪</v>
      </c>
      <c r="F10" s="9" t="str">
        <v>总体Super推出陈述不能核实目标账户、角色和额度。</v>
      </c>
      <c r="G10" s="9" t="str">
        <v>总体Super推出陈述不能核实目标账户、角色和额度。</v>
      </c>
      <c r="H10" s="9" t="str">
        <v>先核资格表与日期。核实无增量则停止该政策定义。</v>
      </c>
      <c r="I10" s="9" t="str">
        <v>先核资格表与日期。核实无增量则停止该政策定义。</v>
      </c>
      <c r="J10" s="3"/>
    </row>
    <row r="11" ht="14.25" customHeight="1">
      <c r="A11" s="3"/>
      <c r="B11" s="3" t="str">
        <v>H1学习任务与迁移</v>
      </c>
      <c r="C11" s="3" t="str">
        <v>H1学习任务与迁移</v>
      </c>
      <c r="D11" s="3" t="str">
        <v>H1学习任务与迁移</v>
      </c>
      <c r="E11" s="8" t="str">
        <v>受限证据</v>
      </c>
      <c r="F11" s="3" t="str">
        <v>随机设计完成者短期信号。全员ITT、自然任务和延后迁移未知。</v>
      </c>
      <c r="G11" s="3" t="str">
        <v>随机设计完成者短期信号。全员ITT、自然任务和延后迁移未知。</v>
      </c>
      <c r="H11" s="3" t="str">
        <v>优先设计同等难度前测与延后未练情境盲评。</v>
      </c>
      <c r="I11" s="3" t="str">
        <v>优先设计同等难度前测与延后未练情境盲评。</v>
      </c>
      <c r="J11" s="3"/>
    </row>
    <row r="12" ht="14.25" customHeight="1">
      <c r="A12" s="3"/>
      <c r="B12" s="9" t="str">
        <v>H1学习任务与迁移</v>
      </c>
      <c r="C12" s="9" t="str">
        <v>H1学习任务与迁移</v>
      </c>
      <c r="D12" s="9" t="str">
        <v>H1学习任务与迁移</v>
      </c>
      <c r="E12" s="10" t="str">
        <v>受限证据</v>
      </c>
      <c r="F12" s="9" t="str">
        <v>随机设计完成者短期信号。全员ITT、自然任务和延后迁移未知。</v>
      </c>
      <c r="G12" s="9" t="str">
        <v>随机设计完成者短期信号。全员ITT、自然任务和延后迁移未知。</v>
      </c>
      <c r="H12" s="9" t="str">
        <v>优先设计同等难度前测与延后未练情境盲评。</v>
      </c>
      <c r="I12" s="9" t="str">
        <v>优先设计同等难度前测与延后未练情境盲评。</v>
      </c>
      <c r="J12" s="3"/>
    </row>
    <row r="13" ht="14.25" customHeight="1">
      <c r="A13" s="3"/>
      <c r="B13" s="3" t="str">
        <v>分配识别与实施权限</v>
      </c>
      <c r="C13" s="3" t="str">
        <v>分配识别与实施权限</v>
      </c>
      <c r="D13" s="3" t="str">
        <v>分配识别与实施权限</v>
      </c>
      <c r="E13" s="8" t="str">
        <v>未就绪</v>
      </c>
      <c r="F13" s="3" t="str">
        <v>没有已核随机分配、合法延后权限或冻结预案。</v>
      </c>
      <c r="G13" s="3" t="str">
        <v>没有已核随机分配、合法延后权限或冻结预案。</v>
      </c>
      <c r="H13" s="3" t="str">
        <v>有权限才设计新增访问。否则只做可实施学习研究。</v>
      </c>
      <c r="I13" s="3" t="str">
        <v>有权限才设计新增访问。否则只做可实施学习研究。</v>
      </c>
      <c r="J13" s="3"/>
    </row>
    <row r="14" ht="14.25" customHeight="1">
      <c r="A14" s="3"/>
      <c r="B14" s="9" t="str">
        <v>分配识别与实施权限</v>
      </c>
      <c r="C14" s="9" t="str">
        <v>分配识别与实施权限</v>
      </c>
      <c r="D14" s="9" t="str">
        <v>分配识别与实施权限</v>
      </c>
      <c r="E14" s="10" t="str">
        <v>未就绪</v>
      </c>
      <c r="F14" s="9" t="str">
        <v>没有已核随机分配、合法延后权限或冻结预案。</v>
      </c>
      <c r="G14" s="9" t="str">
        <v>没有已核随机分配、合法延后权限或冻结预案。</v>
      </c>
      <c r="H14" s="9" t="str">
        <v>有权限才设计新增访问。否则只做可实施学习研究。</v>
      </c>
      <c r="I14" s="9" t="str">
        <v>有权限才设计新增访问。否则只做可实施学习研究。</v>
      </c>
      <c r="J14" s="3"/>
    </row>
    <row r="15" ht="14.25" customHeight="1">
      <c r="A15" s="3"/>
      <c r="B15" s="3" t="str">
        <v>完整两臂经营与服务账单</v>
      </c>
      <c r="C15" s="3" t="str">
        <v>完整两臂经营与服务账单</v>
      </c>
      <c r="D15" s="3" t="str">
        <v>完整两臂经营与服务账单</v>
      </c>
      <c r="E15" s="8" t="str">
        <v>未就绪</v>
      </c>
      <c r="F15" s="3" t="str">
        <v>全员贡献、退款、失败重试及购买后服务成本未知。</v>
      </c>
      <c r="G15" s="3" t="str">
        <v>全员贡献、退款、失败重试及购买后服务成本未知。</v>
      </c>
      <c r="H15" s="3" t="str">
        <v>贡献与AI服务费分开，同窗同币种，含零使用者。</v>
      </c>
      <c r="I15" s="3" t="str">
        <v>贡献与AI服务费分开，同窗同币种，含零使用者。</v>
      </c>
      <c r="J15" s="3"/>
    </row>
    <row r="16" ht="14.25" customHeight="1">
      <c r="A16" s="3"/>
      <c r="B16" s="9" t="str">
        <v>完整两臂经营与服务账单</v>
      </c>
      <c r="C16" s="9" t="str">
        <v>完整两臂经营与服务账单</v>
      </c>
      <c r="D16" s="9" t="str">
        <v>完整两臂经营与服务账单</v>
      </c>
      <c r="E16" s="10" t="str">
        <v>未就绪</v>
      </c>
      <c r="F16" s="9" t="str">
        <v>全员贡献、退款、失败重试及购买后服务成本未知。</v>
      </c>
      <c r="G16" s="9" t="str">
        <v>全员贡献、退款、失败重试及购买后服务成本未知。</v>
      </c>
      <c r="H16" s="9" t="str">
        <v>贡献与AI服务费分开，同窗同币种，含零使用者。</v>
      </c>
      <c r="I16" s="9" t="str">
        <v>贡献与AI服务费分开，同窗同币种，含零使用者。</v>
      </c>
      <c r="J16" s="3"/>
    </row>
    <row r="17" ht="14.25" customHeight="1">
      <c r="A17" s="3"/>
      <c r="B17" s="3" t="str">
        <v>完整政策与预算</v>
      </c>
      <c r="C17" s="3" t="str">
        <v>完整政策与预算</v>
      </c>
      <c r="D17" s="3" t="str">
        <v>完整政策与预算</v>
      </c>
      <c r="E17" s="8" t="str">
        <v>未就绪</v>
      </c>
      <c r="F17" s="3" t="str">
        <v>原Max传播、互斥层部署N、新增F和批准预算未知。</v>
      </c>
      <c r="G17" s="3" t="str">
        <v>原Max传播、互斥层部署N、新增F和批准预算未知。</v>
      </c>
      <c r="H17" s="3" t="str">
        <v>缺层不设零。未补齐不判总体净值、排名或Scale。</v>
      </c>
      <c r="I17" s="3" t="str">
        <v>缺层不设零。未补齐不判总体净值、排名或Scale。</v>
      </c>
      <c r="J17" s="3"/>
    </row>
    <row r="18" ht="14.25" customHeight="1">
      <c r="A18" s="3"/>
      <c r="B18" s="9" t="str">
        <v>完整政策与预算</v>
      </c>
      <c r="C18" s="9" t="str">
        <v>完整政策与预算</v>
      </c>
      <c r="D18" s="9" t="str">
        <v>完整政策与预算</v>
      </c>
      <c r="E18" s="10" t="str">
        <v>未就绪</v>
      </c>
      <c r="F18" s="9" t="str">
        <v>原Max传播、互斥层部署N、新增F和批准预算未知。</v>
      </c>
      <c r="G18" s="9" t="str">
        <v>原Max传播、互斥层部署N、新增F和批准预算未知。</v>
      </c>
      <c r="H18" s="9" t="str">
        <v>缺层不设零。未补齐不判总体净值、排名或Scale。</v>
      </c>
      <c r="I18" s="9" t="str">
        <v>缺层不设零。未补齐不判总体净值、排名或Scale。</v>
      </c>
      <c r="J18" s="3"/>
    </row>
    <row r="19" ht="6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7.25" customHeight="1">
      <c r="A20" s="3"/>
      <c r="B20" s="12" t="str">
        <v>经营背景：公司DAU上升，功能增量仍需独立识别</v>
      </c>
      <c r="C20" s="12" t="str">
        <v>经营背景：公司DAU上升，功能增量仍需独立识别</v>
      </c>
      <c r="D20" s="12" t="str">
        <v>经营背景：公司DAU上升，功能增量仍需独立识别</v>
      </c>
      <c r="E20" s="12" t="str">
        <v>经营背景：公司DAU上升，功能增量仍需独立识别</v>
      </c>
      <c r="F20" s="12" t="str">
        <v>经营背景：公司DAU上升，功能增量仍需独立识别</v>
      </c>
      <c r="G20" s="12" t="str">
        <v>经营背景：公司DAU上升，功能增量仍需独立识别</v>
      </c>
      <c r="H20" s="12" t="str">
        <v>经营背景：公司DAU上升，功能增量仍需独立识别</v>
      </c>
      <c r="I20" s="12" t="str">
        <v>经营背景：公司DAU上升，功能增量仍需独立识别</v>
      </c>
      <c r="J20" s="3"/>
    </row>
    <row r="21" ht="21" customHeight="1">
      <c r="A21" s="3"/>
      <c r="B21" s="3" t="str">
        <v>DAU：全球公司季度日均活跃用户，单位百万。A官方事实；采集于2026-09-30。公司趋势不提供Video Call效果或留存uplift。</v>
      </c>
      <c r="C21" s="3" t="str">
        <v>DAU：全球公司季度日均活跃用户，单位百万。A官方事实；采集于2026-09-30。公司趋势不提供Video Call效果或留存uplift。</v>
      </c>
      <c r="D21" s="3" t="str">
        <v>DAU：全球公司季度日均活跃用户，单位百万。A官方事实；采集于2026-09-30。公司趋势不提供Video Call效果或留存uplift。</v>
      </c>
      <c r="E21" s="3" t="str">
        <v>DAU：全球公司季度日均活跃用户，单位百万。A官方事实；采集于2026-09-30。公司趋势不提供Video Call效果或留存uplift。</v>
      </c>
      <c r="F21" s="3" t="str">
        <v>DAU：全球公司季度日均活跃用户，单位百万。A官方事实；采集于2026-09-30。公司趋势不提供Video Call效果或留存uplift。</v>
      </c>
      <c r="G21" s="3" t="str">
        <v>DAU：全球公司季度日均活跃用户，单位百万。A官方事实；采集于2026-09-30。公司趋势不提供Video Call效果或留存uplift。</v>
      </c>
      <c r="H21" s="3" t="str">
        <v>DAU：全球公司季度日均活跃用户，单位百万。A官方事实；采集于2026-09-30。公司趋势不提供Video Call效果或留存uplift。</v>
      </c>
      <c r="I21" s="3" t="str">
        <v>DAU：全球公司季度日均活跃用户，单位百万。A官方事实；采集于2026-09-30。公司趋势不提供Video Call效果或留存uplift。</v>
      </c>
      <c r="J21" s="3"/>
    </row>
    <row r="22" ht="6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6.5" customHeight="1">
      <c r="A23" s="3"/>
      <c r="B23" s="7" t="str">
        <v>季度</v>
      </c>
      <c r="C23" s="7" t="str">
        <v>DAU（百万）</v>
      </c>
      <c r="D23" s="7" t="str">
        <v>原始来源</v>
      </c>
      <c r="E23" s="3"/>
      <c r="F23" s="3"/>
      <c r="G23" s="3"/>
      <c r="H23" s="3"/>
      <c r="I23" s="3"/>
      <c r="J23" s="3"/>
    </row>
    <row r="24" ht="16.5" customHeight="1">
      <c r="A24" s="3"/>
      <c r="B24" s="3" t="str">
        <v>2024 Q3</v>
      </c>
      <c r="C24" s="14" t="n">
        <v>37.2</v>
      </c>
      <c r="D24" s="15" t="str">
        <v>S004</v>
      </c>
      <c r="E24" s="3"/>
      <c r="F24" s="3"/>
      <c r="G24" s="3"/>
      <c r="H24" s="3"/>
      <c r="I24" s="3"/>
      <c r="J24" s="3"/>
    </row>
    <row r="25" ht="16.5" customHeight="1">
      <c r="A25" s="3"/>
      <c r="B25" s="3" t="str">
        <v>2024 Q4</v>
      </c>
      <c r="C25" s="14" t="n">
        <v>40.5</v>
      </c>
      <c r="D25" s="15" t="str">
        <v>S005</v>
      </c>
      <c r="E25" s="3"/>
      <c r="F25" s="3"/>
      <c r="G25" s="3"/>
      <c r="H25" s="3"/>
      <c r="I25" s="3"/>
      <c r="J25" s="3"/>
    </row>
    <row r="26" ht="16.5" customHeight="1">
      <c r="A26" s="3"/>
      <c r="B26" s="3" t="str">
        <v>2025 Q1</v>
      </c>
      <c r="C26" s="14" t="n">
        <v>46.6</v>
      </c>
      <c r="D26" s="15" t="str">
        <v>S006</v>
      </c>
      <c r="E26" s="3"/>
      <c r="F26" s="3"/>
      <c r="G26" s="3"/>
      <c r="H26" s="3"/>
      <c r="I26" s="3"/>
      <c r="J26" s="3"/>
    </row>
    <row r="27" ht="16.5" customHeight="1">
      <c r="A27" s="3"/>
      <c r="B27" s="3" t="str">
        <v>2025 Q2</v>
      </c>
      <c r="C27" s="14" t="n">
        <v>47.7</v>
      </c>
      <c r="D27" s="15" t="str">
        <v>S007</v>
      </c>
      <c r="E27" s="3"/>
      <c r="F27" s="3"/>
      <c r="G27" s="3"/>
      <c r="H27" s="3"/>
      <c r="I27" s="3"/>
      <c r="J27" s="3"/>
    </row>
    <row r="28" ht="16.5" customHeight="1">
      <c r="A28" s="3"/>
      <c r="B28" s="3" t="str">
        <v>2025 Q3</v>
      </c>
      <c r="C28" s="14" t="n">
        <v>50.5</v>
      </c>
      <c r="D28" s="15" t="str">
        <v>S008</v>
      </c>
      <c r="E28" s="3"/>
      <c r="F28" s="3"/>
      <c r="G28" s="3"/>
      <c r="H28" s="3"/>
      <c r="I28" s="3"/>
      <c r="J28" s="3"/>
    </row>
    <row r="29" ht="16.5" customHeight="1">
      <c r="A29" s="3"/>
      <c r="B29" s="3" t="str">
        <v>2025 Q4</v>
      </c>
      <c r="C29" s="14" t="n">
        <v>52.7</v>
      </c>
      <c r="D29" s="15" t="str">
        <v>S009</v>
      </c>
      <c r="E29" s="3"/>
      <c r="F29" s="3"/>
      <c r="G29" s="3"/>
      <c r="H29" s="3"/>
      <c r="I29" s="3"/>
      <c r="J29" s="3"/>
    </row>
    <row r="30" ht="16.5" customHeight="1">
      <c r="A30" s="3"/>
      <c r="B30" s="3" t="str">
        <v>2026 Q1</v>
      </c>
      <c r="C30" s="14" t="n">
        <v>56.5</v>
      </c>
      <c r="D30" s="15" t="str">
        <v>S010</v>
      </c>
      <c r="E30" s="3"/>
      <c r="F30" s="3"/>
      <c r="G30" s="3"/>
      <c r="H30" s="3"/>
      <c r="I30" s="3"/>
      <c r="J30" s="3"/>
    </row>
    <row r="31" ht="16.5" customHeight="1">
      <c r="A31" s="3"/>
      <c r="B31" s="3" t="str">
        <v>2026 Q2</v>
      </c>
      <c r="C31" s="14" t="n">
        <v>58.7</v>
      </c>
      <c r="D31" s="15" t="str">
        <v>S002</v>
      </c>
      <c r="E31" s="3"/>
      <c r="F31" s="3"/>
      <c r="G31" s="3"/>
      <c r="H31" s="3"/>
      <c r="I31" s="3"/>
      <c r="J31" s="3"/>
    </row>
    <row r="32" ht="15" customHeight="1">
      <c r="A32" s="3"/>
      <c r="B32" s="3" t="str">
        <v>来源ID对应SEC原文。完整URL、报告期和定位保存在DAU单元格备注及设计文档。</v>
      </c>
      <c r="C32" s="3" t="str">
        <v>来源ID对应SEC原文。完整URL、报告期和定位保存在DAU单元格备注及设计文档。</v>
      </c>
      <c r="D32" s="3" t="str">
        <v>来源ID对应SEC原文。完整URL、报告期和定位保存在DAU单元格备注及设计文档。</v>
      </c>
      <c r="E32" s="3"/>
      <c r="F32" s="3"/>
      <c r="G32" s="3"/>
      <c r="H32" s="3"/>
      <c r="I32" s="3"/>
      <c r="J32" s="3"/>
    </row>
    <row r="33" ht="15" customHeight="1">
      <c r="A33" s="3"/>
      <c r="B33" s="3" t="str">
        <v>来源ID对应SEC原文。完整URL、报告期和定位保存在DAU单元格备注及设计文档。</v>
      </c>
      <c r="C33" s="3" t="str">
        <v>来源ID对应SEC原文。完整URL、报告期和定位保存在DAU单元格备注及设计文档。</v>
      </c>
      <c r="D33" s="3" t="str">
        <v>来源ID对应SEC原文。完整URL、报告期和定位保存在DAU单元格备注及设计文档。</v>
      </c>
      <c r="E33" s="3"/>
      <c r="F33" s="3"/>
      <c r="G33" s="3"/>
      <c r="H33" s="3"/>
      <c r="I33" s="3"/>
      <c r="J33" s="3"/>
    </row>
    <row r="34" ht="6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7.25" customHeight="1">
      <c r="A35" s="3"/>
      <c r="B35" s="12" t="str">
        <v>决策触发：评审与扩张分开</v>
      </c>
      <c r="C35" s="12" t="str">
        <v>决策触发：评审与扩张分开</v>
      </c>
      <c r="D35" s="12" t="str">
        <v>决策触发：评审与扩张分开</v>
      </c>
      <c r="E35" s="12" t="str">
        <v>决策触发：评审与扩张分开</v>
      </c>
      <c r="F35" s="12" t="str">
        <v>决策触发：评审与扩张分开</v>
      </c>
      <c r="G35" s="12" t="str">
        <v>决策触发：评审与扩张分开</v>
      </c>
      <c r="H35" s="12" t="str">
        <v>决策触发：评审与扩张分开</v>
      </c>
      <c r="I35" s="12" t="str">
        <v>决策触发：评审与扩张分开</v>
      </c>
      <c r="J35" s="3"/>
    </row>
    <row r="36" ht="26.25" customHeight="1">
      <c r="A36" s="3"/>
      <c r="B36" s="16" t="str">
        <v>绿色</v>
      </c>
      <c r="C36" s="16" t="str">
        <v>绿色</v>
      </c>
      <c r="D36" s="3" t="str">
        <v>真实增量、权限、数据契约、预算与预案冻结齐备：可提交受限验证审批。Scale另需真实全员结果、学习/课程护栏及完整政策经济性或教学预算。</v>
      </c>
      <c r="E36" s="3" t="str">
        <v>真实增量、权限、数据契约、预算与预案冻结齐备：可提交受限验证审批。Scale另需真实全员结果、学习/课程护栏及完整政策经济性或教学预算。</v>
      </c>
      <c r="F36" s="3" t="str">
        <v>真实增量、权限、数据契约、预算与预案冻结齐备：可提交受限验证审批。Scale另需真实全员结果、学习/课程护栏及完整政策经济性或教学预算。</v>
      </c>
      <c r="G36" s="3" t="str">
        <v>真实增量、权限、数据契约、预算与预案冻结齐备：可提交受限验证审批。Scale另需真实全员结果、学习/课程护栏及完整政策经济性或教学预算。</v>
      </c>
      <c r="H36" s="3" t="str">
        <v>真实增量、权限、数据契约、预算与预案冻结齐备：可提交受限验证审批。Scale另需真实全员结果、学习/课程护栏及完整政策经济性或教学预算。</v>
      </c>
      <c r="I36" s="3" t="str">
        <v>真实增量、权限、数据契约、预算与预案冻结齐备：可提交受限验证审批。Scale另需真实全员结果、学习/课程护栏及完整政策经济性或教学预算。</v>
      </c>
      <c r="J36" s="3"/>
    </row>
    <row r="37" ht="26.25" customHeight="1">
      <c r="A37" s="3"/>
      <c r="B37" s="8" t="str">
        <v>黄色</v>
      </c>
      <c r="C37" s="8" t="str">
        <v>黄色</v>
      </c>
      <c r="D37" s="3" t="str">
        <v>字段缺失、效果未成熟或置信区间跨冻结门槛：补证或Iterate。当前保持黄色，不用公司增长或完成者学习成绩代填。</v>
      </c>
      <c r="E37" s="3" t="str">
        <v>字段缺失、效果未成熟或置信区间跨冻结门槛：补证或Iterate。当前保持黄色，不用公司增长或完成者学习成绩代填。</v>
      </c>
      <c r="F37" s="3" t="str">
        <v>字段缺失、效果未成熟或置信区间跨冻结门槛：补证或Iterate。当前保持黄色，不用公司增长或完成者学习成绩代填。</v>
      </c>
      <c r="G37" s="3" t="str">
        <v>字段缺失、效果未成熟或置信区间跨冻结门槛：补证或Iterate。当前保持黄色，不用公司增长或完成者学习成绩代填。</v>
      </c>
      <c r="H37" s="3" t="str">
        <v>字段缺失、效果未成熟或置信区间跨冻结门槛：补证或Iterate。当前保持黄色，不用公司增长或完成者学习成绩代填。</v>
      </c>
      <c r="I37" s="3" t="str">
        <v>字段缺失、效果未成熟或置信区间跨冻结门槛：补证或Iterate。当前保持黄色，不用公司增长或完成者学习成绩代填。</v>
      </c>
      <c r="J37" s="3"/>
    </row>
    <row r="38" ht="26.25" customHeight="1">
      <c r="A38" s="3"/>
      <c r="B38" s="17" t="str">
        <v>红色</v>
      </c>
      <c r="C38" s="17" t="str">
        <v>红色</v>
      </c>
      <c r="D38" s="3" t="str">
        <v>核实无新增权益、权限不通过、冻结护栏明确恶化或完整费用突破批准上限：暂停/Stop，排查后重新评审。</v>
      </c>
      <c r="E38" s="3" t="str">
        <v>核实无新增权益、权限不通过、冻结护栏明确恶化或完整费用突破批准上限：暂停/Stop，排查后重新评审。</v>
      </c>
      <c r="F38" s="3" t="str">
        <v>核实无新增权益、权限不通过、冻结护栏明确恶化或完整费用突破批准上限：暂停/Stop，排查后重新评审。</v>
      </c>
      <c r="G38" s="3" t="str">
        <v>核实无新增权益、权限不通过、冻结护栏明确恶化或完整费用突破批准上限：暂停/Stop，排查后重新评审。</v>
      </c>
      <c r="H38" s="3" t="str">
        <v>核实无新增权益、权限不通过、冻结护栏明确恶化或完整费用突破批准上限：暂停/Stop，排查后重新评审。</v>
      </c>
      <c r="I38" s="3" t="str">
        <v>核实无新增权益、权限不通过、冻结护栏明确恶化或完整费用突破批准上限：暂停/Stop，排查后重新评审。</v>
      </c>
      <c r="J38" s="3"/>
    </row>
    <row r="39" ht="12.75" customHeight="1">
      <c r="A39" s="3"/>
      <c r="B39" s="3" t="str">
        <v>依据：quant/stage4_final_delivery.md、quant/evidence_assumptions.md、stage4经济/政策就绪CSV、analysis/business_review.md。财务窗口与功能窗口分开。当前无自动刷新。</v>
      </c>
      <c r="C39" s="3" t="str">
        <v>依据：quant/stage4_final_delivery.md、quant/evidence_assumptions.md、stage4经济/政策就绪CSV、analysis/business_review.md。财务窗口与功能窗口分开。当前无自动刷新。</v>
      </c>
      <c r="D39" s="3" t="str">
        <v>依据：quant/stage4_final_delivery.md、quant/evidence_assumptions.md、stage4经济/政策就绪CSV、analysis/business_review.md。财务窗口与功能窗口分开。当前无自动刷新。</v>
      </c>
      <c r="E39" s="3" t="str">
        <v>依据：quant/stage4_final_delivery.md、quant/evidence_assumptions.md、stage4经济/政策就绪CSV、analysis/business_review.md。财务窗口与功能窗口分开。当前无自动刷新。</v>
      </c>
      <c r="F39" s="3" t="str">
        <v>依据：quant/stage4_final_delivery.md、quant/evidence_assumptions.md、stage4经济/政策就绪CSV、analysis/business_review.md。财务窗口与功能窗口分开。当前无自动刷新。</v>
      </c>
      <c r="G39" s="3" t="str">
        <v>依据：quant/stage4_final_delivery.md、quant/evidence_assumptions.md、stage4经济/政策就绪CSV、analysis/business_review.md。财务窗口与功能窗口分开。当前无自动刷新。</v>
      </c>
      <c r="H39" s="3" t="str">
        <v>依据：quant/stage4_final_delivery.md、quant/evidence_assumptions.md、stage4经济/政策就绪CSV、analysis/business_review.md。财务窗口与功能窗口分开。当前无自动刷新。</v>
      </c>
      <c r="I39" s="3" t="str">
        <v>依据：quant/stage4_final_delivery.md、quant/evidence_assumptions.md、stage4经济/政策就绪CSV、analysis/business_review.md。财务窗口与功能窗口分开。当前无自动刷新。</v>
      </c>
      <c r="J39" s="3"/>
    </row>
    <row r="40" ht="12.75" customHeight="1">
      <c r="A40" s="3"/>
      <c r="B40" s="3" t="str">
        <v>依据：quant/stage4_final_delivery.md、quant/evidence_assumptions.md、stage4经济/政策就绪CSV、analysis/business_review.md。财务窗口与功能窗口分开。当前无自动刷新。</v>
      </c>
      <c r="C40" s="3" t="str">
        <v>依据：quant/stage4_final_delivery.md、quant/evidence_assumptions.md、stage4经济/政策就绪CSV、analysis/business_review.md。财务窗口与功能窗口分开。当前无自动刷新。</v>
      </c>
      <c r="D40" s="3" t="str">
        <v>依据：quant/stage4_final_delivery.md、quant/evidence_assumptions.md、stage4经济/政策就绪CSV、analysis/business_review.md。财务窗口与功能窗口分开。当前无自动刷新。</v>
      </c>
      <c r="E40" s="3" t="str">
        <v>依据：quant/stage4_final_delivery.md、quant/evidence_assumptions.md、stage4经济/政策就绪CSV、analysis/business_review.md。财务窗口与功能窗口分开。当前无自动刷新。</v>
      </c>
      <c r="F40" s="3" t="str">
        <v>依据：quant/stage4_final_delivery.md、quant/evidence_assumptions.md、stage4经济/政策就绪CSV、analysis/business_review.md。财务窗口与功能窗口分开。当前无自动刷新。</v>
      </c>
      <c r="G40" s="3" t="str">
        <v>依据：quant/stage4_final_delivery.md、quant/evidence_assumptions.md、stage4经济/政策就绪CSV、analysis/business_review.md。财务窗口与功能窗口分开。当前无自动刷新。</v>
      </c>
      <c r="H40" s="3" t="str">
        <v>依据：quant/stage4_final_delivery.md、quant/evidence_assumptions.md、stage4经济/政策就绪CSV、analysis/business_review.md。财务窗口与功能窗口分开。当前无自动刷新。</v>
      </c>
      <c r="I40" s="3" t="str">
        <v>依据：quant/stage4_final_delivery.md、quant/evidence_assumptions.md、stage4经济/政策就绪CSV、analysis/business_review.md。财务窗口与功能窗口分开。当前无自动刷新。</v>
      </c>
      <c r="J40" s="3"/>
    </row>
  </sheetData>
  <mergeCells>
    <mergeCell ref="B2:I2"/>
    <mergeCell ref="B3:I3"/>
    <mergeCell ref="B5:I5"/>
    <mergeCell ref="B6:I6"/>
    <mergeCell ref="B8:D8"/>
    <mergeCell ref="F8:G8"/>
    <mergeCell ref="H8:I8"/>
    <mergeCell ref="B9:D10"/>
    <mergeCell ref="E9:E10"/>
    <mergeCell ref="F9:G10"/>
    <mergeCell ref="H9:I10"/>
    <mergeCell ref="B11:D12"/>
    <mergeCell ref="E11:E12"/>
    <mergeCell ref="F11:G12"/>
    <mergeCell ref="H11:I12"/>
    <mergeCell ref="B13:D14"/>
    <mergeCell ref="E13:E14"/>
    <mergeCell ref="F13:G14"/>
    <mergeCell ref="H13:I14"/>
    <mergeCell ref="B15:D16"/>
    <mergeCell ref="E15:E16"/>
    <mergeCell ref="F15:G16"/>
    <mergeCell ref="H15:I16"/>
    <mergeCell ref="B17:D18"/>
    <mergeCell ref="E17:E18"/>
    <mergeCell ref="F17:G18"/>
    <mergeCell ref="H17:I18"/>
    <mergeCell ref="B20:I20"/>
    <mergeCell ref="B21:I21"/>
    <mergeCell ref="B32:D33"/>
    <mergeCell ref="B35:I35"/>
    <mergeCell ref="B36:C36"/>
    <mergeCell ref="D36:I36"/>
    <mergeCell ref="B37:C37"/>
    <mergeCell ref="D37:I37"/>
    <mergeCell ref="B38:C38"/>
    <mergeCell ref="D38:I38"/>
    <mergeCell ref="B39:I40"/>
  </mergeCells>
  <conditionalFormatting sqref="B5:I5">
    <cfRule type="expression" dxfId="0" priority="1">
      <formula>LEFT($B$5,2)="黄色"</formula>
    </cfRule>
    <cfRule type="expression" dxfId="1" priority="2">
      <formula>LEFT($B$5,2)="红色"</formula>
    </cfRule>
    <cfRule type="expression" dxfId="2" priority="3">
      <formula>LEFT($B$5,2)="绿色"</formula>
    </cfRule>
  </conditionalFormatting>
  <hyperlinks>
    <hyperlink ref="D24" r:id="rIdMonitoringSource1" display="S004"/>
    <hyperlink ref="D25" r:id="rIdMonitoringSource2" display="S005"/>
    <hyperlink ref="D26" r:id="rIdMonitoringSource3" display="S006"/>
    <hyperlink ref="D27" r:id="rIdMonitoringSource4" display="S007"/>
    <hyperlink ref="D28" r:id="rIdMonitoringSource5" display="S008"/>
    <hyperlink ref="D29" r:id="rIdMonitoringSource6" display="S009"/>
    <hyperlink ref="D30" r:id="rIdMonitoringSource7" display="S010"/>
    <hyperlink ref="D31" r:id="rIdMonitoringSource8" display="S002"/>
  </hyperlinks>
  <printOptions horizontalCentered="1" headings="0" gridLines="0"/>
  <pageMargins left="0.25" right="0.25" top="0.22" bottom="0.28" header="0.1" footer="0.1"/>
  <pageSetup paperSize="9" orientation="landscape" fitToWidth="1" fitToHeight="1"/>
  <drawing r:id="Rf6dcc0bbafa64e47"/>
  <legacyDrawing r:id="R5dfa211b48634475"/>
</worksheet>
</file>

<file path=xl/worksheets/sheet2.xml><?xml version="1.0" encoding="utf-8"?>
<worksheet xmlns="http://schemas.openxmlformats.org/spreadsheetml/2006/main">
  <sheetPr>
    <tabColor rgb="FF214755"/>
    <pageSetUpPr fitToPage="1"/>
  </sheetPr>
  <sheetViews>
    <sheetView showGridLines="0" workbookViewId="0"/>
  </sheetViews>
  <sheetFormatPr defaultRowHeight="15"/>
  <cols>
    <col min="1" max="1" width="1.75" hidden="0" customWidth="1"/>
    <col min="10" max="10" width="1.75" hidden="0" customWidth="1"/>
    <col min="2" max="2" width="13.75" hidden="0" customWidth="1"/>
    <col min="3" max="3" width="13.75" hidden="0" customWidth="1"/>
    <col min="4" max="4" width="13.75" hidden="0" customWidth="1"/>
    <col min="5" max="5" width="13.75" hidden="0" customWidth="1"/>
    <col min="6" max="6" width="13.75" hidden="0" customWidth="1"/>
    <col min="7" max="7" width="13.75" hidden="0" customWidth="1"/>
    <col min="8" max="8" width="13.75" hidden="0" customWidth="1"/>
    <col min="9" max="9" width="13.75" hidden="0" customWidth="1"/>
  </cols>
  <sheetData>
    <row r="1" ht="6.7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1" customHeight="1">
      <c r="A2" s="3"/>
      <c r="B2" s="4" t="str">
        <v>未来KPI：定义、阈值与行动</v>
      </c>
      <c r="C2" s="4" t="str">
        <v>未来KPI：定义、阈值与行动</v>
      </c>
      <c r="D2" s="4" t="str">
        <v>未来KPI：定义、阈值与行动</v>
      </c>
      <c r="E2" s="4" t="str">
        <v>未来KPI：定义、阈值与行动</v>
      </c>
      <c r="F2" s="4" t="str">
        <v>未来KPI：定义、阈值与行动</v>
      </c>
      <c r="G2" s="4" t="str">
        <v>未来KPI：定义、阈值与行动</v>
      </c>
      <c r="H2" s="4" t="str">
        <v>未来KPI：定义、阈值与行动</v>
      </c>
      <c r="I2" s="4" t="str">
        <v>未来KPI：定义、阈值与行动</v>
      </c>
      <c r="J2" s="3"/>
    </row>
    <row r="3" ht="18.75" customHeight="1">
      <c r="A3" s="3"/>
      <c r="B3" s="5" t="str">
        <v>拟方案 v1.0。Primary为H1延后未练情境盲评score的全员ITT差。所有阈值、额度和窗口由匹配数据及审批冻结。</v>
      </c>
      <c r="C3" s="5" t="str">
        <v>拟方案 v1.0。Primary为H1延后未练情境盲评score的全员ITT差。所有阈值、额度和窗口由匹配数据及审批冻结。</v>
      </c>
      <c r="D3" s="5" t="str">
        <v>拟方案 v1.0。Primary为H1延后未练情境盲评score的全员ITT差。所有阈值、额度和窗口由匹配数据及审批冻结。</v>
      </c>
      <c r="E3" s="5" t="str">
        <v>拟方案 v1.0。Primary为H1延后未练情境盲评score的全员ITT差。所有阈值、额度和窗口由匹配数据及审批冻结。</v>
      </c>
      <c r="F3" s="5" t="str">
        <v>拟方案 v1.0。Primary为H1延后未练情境盲评score的全员ITT差。所有阈值、额度和窗口由匹配数据及审批冻结。</v>
      </c>
      <c r="G3" s="5" t="str">
        <v>拟方案 v1.0。Primary为H1延后未练情境盲评score的全员ITT差。所有阈值、额度和窗口由匹配数据及审批冻结。</v>
      </c>
      <c r="H3" s="5" t="str">
        <v>拟方案 v1.0。Primary为H1延后未练情境盲评score的全员ITT差。所有阈值、额度和窗口由匹配数据及审批冻结。</v>
      </c>
      <c r="I3" s="5" t="str">
        <v>拟方案 v1.0。Primary为H1延后未练情境盲评score的全员ITT差。所有阈值、额度和窗口由匹配数据及审批冻结。</v>
      </c>
      <c r="J3" s="3"/>
    </row>
    <row r="4" ht="6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21" customHeight="1">
      <c r="A5" s="3"/>
      <c r="B5" s="3" t="str">
        <f>IF(OR(D12="不通过",H12="不通过",D13="不通过",H13="不通过"),"红色：停止当前方案",IF(OR(OR(ISBLANK(D8),AND(ISTEXT(D8),LEN(TRIM(D8))=0)),OR(ISBLANK(H8),AND(ISTEXT(H8),LEN(TRIM(H8))=0)),OR(ISBLANK(D9),AND(ISTEXT(D9),LEN(TRIM(D9))=0)),OR(ISBLANK(H9),AND(ISTEXT(H9),LEN(TRIM(H9))=0)),OR(ISBLANK(D10),AND(ISTEXT(D10),LEN(TRIM(D10))=0)),OR(ISBLANK(H10),AND(ISTEXT(H10),LEN(TRIM(H10))=0)),OR(ISBLANK(D11),AND(ISTEXT(D11),LEN(TRIM(D11))=0)),OR(ISBLANK(H11),AND(ISTEXT(H11),LEN(TRIM(H11))=0)),OR(ISBLANK(D12),AND(ISTEXT(D12),LEN(TRIM(D12))=0)),OR(ISBLANK(H12),AND(ISTEXT(H12),LEN(TRIM(H12))=0)),OR(ISBLANK(D13),AND(ISTEXT(D13),LEN(TRIM(D13))=0)),OR(ISBLANK(H13),AND(ISTEXT(H13),LEN(TRIM(H13))=0)),OR(ISBLANK(D14),AND(ISTEXT(D14),LEN(TRIM(D14))=0)),OR(ISBLANK(H14),AND(ISTEXT(H14),LEN(TRIM(H14))=0)),OR(ISBLANK(D15),AND(ISTEXT(D15),LEN(TRIM(D15))=0)),OR(ISBLANK(H15),AND(ISTEXT(H15),LEN(TRIM(H15))=0))),"黄色：未就绪",IF(NOT(AND(AND(ISNUMBER(D8),D8&gt;=0,ISNUMBER(H8),H8&gt;0,ISNUMBER(D9),D9&gt;0,ISNUMBER(H9),H9&gt;0,ISNUMBER(D10),D10&gt;=0,D10=INT(D10),ISNUMBER(D11),D11&gt;=0,ISNUMBER(D15),D15&gt;0),AND(ISTEXT(H10),ISTEXT(H11),ISTEXT(D14),ISTEXT(H14),ISTEXT(H15)))),"红色：输入口径无效",IF(AND(D12="通过",H12="通过",D13="通过",H13="通过"),"绿色：可提交受限验证审批","黄色：需复核输入"))))</f>
        <v>黄色：未就绪</v>
      </c>
      <c r="C5" s="3" t="str"/>
      <c r="D5" s="3" t="str"/>
      <c r="E5" s="3" t="str"/>
      <c r="F5" s="3" t="str"/>
      <c r="G5" s="3" t="str"/>
      <c r="H5" s="3" t="str"/>
      <c r="I5" s="3" t="str"/>
      <c r="J5" s="3"/>
    </row>
    <row r="6" ht="21" customHeight="1">
      <c r="A6" s="3"/>
      <c r="B6" s="3" t="str">
        <v>黄色输入格当前留空。填写会重算设计就绪状态；填写不生成实验结果。绿色仅表示可提交受限验证审批。</v>
      </c>
      <c r="C6" s="3" t="str">
        <v>黄色输入格当前留空。填写会重算设计就绪状态；填写不生成实验结果。绿色仅表示可提交受限验证审批。</v>
      </c>
      <c r="D6" s="3" t="str">
        <v>黄色输入格当前留空。填写会重算设计就绪状态；填写不生成实验结果。绿色仅表示可提交受限验证审批。</v>
      </c>
      <c r="E6" s="3" t="str">
        <v>黄色输入格当前留空。填写会重算设计就绪状态；填写不生成实验结果。绿色仅表示可提交受限验证审批。</v>
      </c>
      <c r="F6" s="3" t="str">
        <v>黄色输入格当前留空。填写会重算设计就绪状态；填写不生成实验结果。绿色仅表示可提交受限验证审批。</v>
      </c>
      <c r="G6" s="3" t="str">
        <v>黄色输入格当前留空。填写会重算设计就绪状态；填写不生成实验结果。绿色仅表示可提交受限验证审批。</v>
      </c>
      <c r="H6" s="3" t="str">
        <v>黄色输入格当前留空。填写会重算设计就绪状态；填写不生成实验结果。绿色仅表示可提交受限验证审批。</v>
      </c>
      <c r="I6" s="3" t="str">
        <v>黄色输入格当前留空。填写会重算设计就绪状态；填写不生成实验结果。绿色仅表示可提交受限验证审批。</v>
      </c>
      <c r="J6" s="3"/>
    </row>
    <row r="7" ht="6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8" customHeight="1">
      <c r="A8" s="3"/>
      <c r="B8" s="3" t="str">
        <v>前测baseline均值（分）</v>
      </c>
      <c r="C8" s="3" t="str">
        <v>前测baseline均值（分）</v>
      </c>
      <c r="D8" s="19"/>
      <c r="E8" s="18"/>
      <c r="F8" s="3" t="str">
        <v>前测SD（分，&gt;0）</v>
      </c>
      <c r="G8" s="3" t="str">
        <v>前测SD（分，&gt;0）</v>
      </c>
      <c r="H8" s="19"/>
      <c r="I8" s="18"/>
      <c r="J8" s="3"/>
    </row>
    <row r="9" ht="18" customHeight="1">
      <c r="A9" s="3"/>
      <c r="B9" s="3" t="str">
        <v>primary MDE（分，&gt;0）</v>
      </c>
      <c r="C9" s="3" t="str">
        <v>primary MDE（分，&gt;0）</v>
      </c>
      <c r="D9" s="19"/>
      <c r="E9" s="18"/>
      <c r="F9" s="3" t="str">
        <v>学习window HL（天，&gt;0）</v>
      </c>
      <c r="G9" s="3" t="str">
        <v>学习window HL（天，&gt;0）</v>
      </c>
      <c r="H9" s="19"/>
      <c r="I9" s="18"/>
      <c r="J9" s="3"/>
    </row>
    <row r="10" ht="18" customHeight="1">
      <c r="A10" s="3"/>
      <c r="B10" s="3" t="str">
        <v>调用cap（次/账户，≥0）</v>
      </c>
      <c r="C10" s="3" t="str">
        <v>调用cap（次/账户，≥0）</v>
      </c>
      <c r="D10" s="19"/>
      <c r="E10" s="18"/>
      <c r="F10" s="3" t="str">
        <v>账单/预算currency</v>
      </c>
      <c r="G10" s="3" t="str">
        <v>账单/预算currency</v>
      </c>
      <c r="H10" s="18"/>
      <c r="I10" s="18"/>
      <c r="J10" s="3"/>
    </row>
    <row r="11" ht="18" customHeight="1">
      <c r="A11" s="3"/>
      <c r="B11" s="3" t="str">
        <v>完整批准budget cap（≥0）</v>
      </c>
      <c r="C11" s="3" t="str">
        <v>完整批准budget cap（≥0）</v>
      </c>
      <c r="D11" s="19"/>
      <c r="E11" s="18"/>
      <c r="F11" s="3" t="str">
        <v>匹配数据/来源定位</v>
      </c>
      <c r="G11" s="3" t="str">
        <v>匹配数据/来源定位</v>
      </c>
      <c r="H11" s="18"/>
      <c r="I11" s="18"/>
      <c r="J11" s="3"/>
    </row>
    <row r="12" ht="18" customHeight="1">
      <c r="A12" s="3"/>
      <c r="B12" s="3" t="str">
        <v>完整数据契约审核</v>
      </c>
      <c r="C12" s="3" t="str">
        <v>完整数据契约审核</v>
      </c>
      <c r="D12" s="18"/>
      <c r="E12" s="18"/>
      <c r="F12" s="3" t="str">
        <v>预算审批审核</v>
      </c>
      <c r="G12" s="3" t="str">
        <v>预算审批审核</v>
      </c>
      <c r="H12" s="18"/>
      <c r="I12" s="18"/>
      <c r="J12" s="3"/>
    </row>
    <row r="13" ht="18" customHeight="1">
      <c r="A13" s="3"/>
      <c r="B13" s="3" t="str">
        <v>实际新增资格审核</v>
      </c>
      <c r="C13" s="3" t="str">
        <v>实际新增资格审核</v>
      </c>
      <c r="D13" s="18"/>
      <c r="E13" s="18"/>
      <c r="F13" s="3" t="str">
        <v>合法实施权限审核</v>
      </c>
      <c r="G13" s="3" t="str">
        <v>合法实施权限审核</v>
      </c>
      <c r="H13" s="18"/>
      <c r="I13" s="18"/>
      <c r="J13" s="3"/>
    </row>
    <row r="14" ht="18" customHeight="1">
      <c r="A14" s="3"/>
      <c r="B14" s="3" t="str">
        <v>冻结版本/N/护栏阈值</v>
      </c>
      <c r="C14" s="3" t="str">
        <v>冻结版本/N/护栏阈值</v>
      </c>
      <c r="D14" s="18"/>
      <c r="E14" s="18"/>
      <c r="F14" s="3" t="str">
        <v>目标人群/权益/日期版本</v>
      </c>
      <c r="G14" s="3" t="str">
        <v>目标人群/权益/日期版本</v>
      </c>
      <c r="H14" s="18"/>
      <c r="I14" s="18"/>
      <c r="J14" s="3"/>
    </row>
    <row r="15" ht="18" customHeight="1">
      <c r="A15" s="3"/>
      <c r="B15" s="3" t="str">
        <v>成熟经营window HB（天）</v>
      </c>
      <c r="C15" s="3" t="str">
        <v>成熟经营window HB（天）</v>
      </c>
      <c r="D15" s="18"/>
      <c r="E15" s="18"/>
      <c r="F15" s="3" t="str">
        <v>分组N/缺测/power来源</v>
      </c>
      <c r="G15" s="3" t="str">
        <v>分组N/缺测/power来源</v>
      </c>
      <c r="H15" s="18"/>
      <c r="I15" s="18"/>
      <c r="J15" s="3"/>
    </row>
    <row r="16" ht="21.75" customHeight="1">
      <c r="A16" s="3"/>
      <c r="B16" s="3" t="str">
        <v>契约：原组全员含零用、同窗同币种、分配识别；贡献扣退款及非AI费，服务费含双臂失败及购买后使用。失访不记0。来源/审核须人工复核。</v>
      </c>
      <c r="C16" s="3" t="str">
        <v>契约：原组全员含零用、同窗同币种、分配识别；贡献扣退款及非AI费，服务费含双臂失败及购买后使用。失访不记0。来源/审核须人工复核。</v>
      </c>
      <c r="D16" s="3" t="str">
        <v>契约：原组全员含零用、同窗同币种、分配识别；贡献扣退款及非AI费，服务费含双臂失败及购买后使用。失访不记0。来源/审核须人工复核。</v>
      </c>
      <c r="E16" s="3" t="str">
        <v>契约：原组全员含零用、同窗同币种、分配识别；贡献扣退款及非AI费，服务费含双臂失败及购买后使用。失访不记0。来源/审核须人工复核。</v>
      </c>
      <c r="F16" s="3" t="str">
        <v>契约：原组全员含零用、同窗同币种、分配识别；贡献扣退款及非AI费，服务费含双臂失败及购买后使用。失访不记0。来源/审核须人工复核。</v>
      </c>
      <c r="G16" s="3" t="str">
        <v>契约：原组全员含零用、同窗同币种、分配识别；贡献扣退款及非AI费，服务费含双臂失败及购买后使用。失访不记0。来源/审核须人工复核。</v>
      </c>
      <c r="H16" s="3" t="str">
        <v>契约：原组全员含零用、同窗同币种、分配识别；贡献扣退款及非AI费，服务费含双臂失败及购买后使用。失访不记0。来源/审核须人工复核。</v>
      </c>
      <c r="I16" s="3" t="str">
        <v>契约：原组全员含零用、同窗同币种、分配识别；贡献扣退款及非AI费，服务费含双臂失败及购买后使用。失访不记0。来源/审核须人工复核。</v>
      </c>
      <c r="J16" s="3"/>
    </row>
    <row r="17" ht="6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7.25" customHeight="1">
      <c r="A18" s="3"/>
      <c r="B18" s="12" t="str">
        <v>未来数据来自授权事件与账单。当前指标值均未测。CI为预设置信区间。</v>
      </c>
      <c r="C18" s="12" t="str">
        <v>未来数据来自授权事件与账单。当前指标值均未测。CI为预设置信区间。</v>
      </c>
      <c r="D18" s="12" t="str">
        <v>未来数据来自授权事件与账单。当前指标值均未测。CI为预设置信区间。</v>
      </c>
      <c r="E18" s="12" t="str">
        <v>未来数据来自授权事件与账单。当前指标值均未测。CI为预设置信区间。</v>
      </c>
      <c r="F18" s="12" t="str">
        <v>未来数据来自授权事件与账单。当前指标值均未测。CI为预设置信区间。</v>
      </c>
      <c r="G18" s="12" t="str">
        <v>未来数据来自授权事件与账单。当前指标值均未测。CI为预设置信区间。</v>
      </c>
      <c r="H18" s="12" t="str">
        <v>未来数据来自授权事件与账单。当前指标值均未测。CI为预设置信区间。</v>
      </c>
      <c r="I18" s="12" t="str">
        <v>未来数据来自授权事件与账单。当前指标值均未测。CI为预设置信区间。</v>
      </c>
      <c r="J18" s="3"/>
    </row>
    <row r="19" ht="18" customHeight="1">
      <c r="A19" s="3"/>
      <c r="B19" s="7" t="str">
        <v>指标 / 当前</v>
      </c>
      <c r="C19" s="7" t="str">
        <v>指标 / 当前</v>
      </c>
      <c r="D19" s="7" t="str">
        <v>定义与未来来源</v>
      </c>
      <c r="E19" s="7" t="str">
        <v>定义与未来来源</v>
      </c>
      <c r="F19" s="7" t="str">
        <v>Green / Yellow / Red 规则</v>
      </c>
      <c r="G19" s="7" t="str">
        <v>Green / Yellow / Red 规则</v>
      </c>
      <c r="H19" s="7" t="str">
        <v>行动与解释边界</v>
      </c>
      <c r="I19" s="7" t="str">
        <v>行动与解释边界</v>
      </c>
      <c r="J19" s="3"/>
    </row>
    <row r="20" ht="45" customHeight="1">
      <c r="A20" s="3"/>
      <c r="B20" s="10" t="str">
        <v>Primary：延后迁移盲评
未测 / 黄色</v>
      </c>
      <c r="C20" s="10" t="str">
        <v>Primary：延后迁移盲评
未测 / 黄色</v>
      </c>
      <c r="D20" s="9" t="str">
        <v>授权分配与盲评；全员含零用。
前测调整、延后未练任务差（分）。失访不记0。</v>
      </c>
      <c r="E20" s="9" t="str">
        <v>授权分配与盲评；全员含零用。
前测调整、延后未练任务差（分）。失访不记0。</v>
      </c>
      <c r="F20" s="9" t="str">
        <v>绿：95%CI下限≥冻结受益门槛。
黄：未成熟/CI跨门槛。
红：充分精度且上限&lt;受益门槛。</v>
      </c>
      <c r="G20" s="9" t="str">
        <v>绿：95%CI下限≥冻结受益门槛。
黄：未成熟/CI跨门槛。
红：充分精度且上限&lt;受益门槛。</v>
      </c>
      <c r="H20" s="9" t="str">
        <v>绿：缺测敏感度不翻转、护栏过。
黄：补评估/保持预案。
红：停止当前处理学习论证。</v>
      </c>
      <c r="I20" s="9" t="str">
        <v>绿：缺测敏感度不翻转、护栏过。
黄：补评估/保持预案。
红：停止当前处理学习论证。</v>
      </c>
      <c r="J20" s="3"/>
    </row>
    <row r="21" ht="45" customHeight="1">
      <c r="A21" s="3"/>
      <c r="B21" s="10" t="str">
        <v>机制：有效练习
未测 / 黄色</v>
      </c>
      <c r="C21" s="10" t="str">
        <v>机制：有效练习
未测 / 黄色</v>
      </c>
      <c r="D21" s="9" t="str">
        <v>资格、完成及质量事件。
有效通话人数/全部分配资格账户；分钟/全员。</v>
      </c>
      <c r="E21" s="9" t="str">
        <v>资格、完成及质量事件。
有效通话人数/全部分配资格账户；分钟/全员。</v>
      </c>
      <c r="F21" s="9" t="str">
        <v>绿：质量合格且达冻结机制目标。
黄：日志缺失/定义未冻。
红：质量定义或分配数据失效。</v>
      </c>
      <c r="G21" s="9" t="str">
        <v>绿：质量合格且达冻结机制目标。
黄：日志缺失/定义未冻。
红：质量定义或分配数据失效。</v>
      </c>
      <c r="H21" s="9" t="str">
        <v>诊断采用、零用和失败。
机制改善不代替学习或经营效果。</v>
      </c>
      <c r="I21" s="9" t="str">
        <v>诊断采用、零用和失败。
机制改善不代替学习或经营效果。</v>
      </c>
      <c r="J21" s="3"/>
    </row>
    <row r="22" ht="45" customHeight="1">
      <c r="A22" s="3"/>
      <c r="B22" s="10" t="str">
        <v>课程完成护栏
未测 / 黄色</v>
      </c>
      <c r="C22" s="10" t="str">
        <v>课程完成护栏
未测 / 黄色</v>
      </c>
      <c r="D22" s="9" t="str">
        <v>授权课程完成事件。
全部原分配账户同窗完成量/率的组间差。</v>
      </c>
      <c r="E22" s="9" t="str">
        <v>授权课程完成事件。
全部原分配账户同窗完成量/率的组间差。</v>
      </c>
      <c r="F22" s="9" t="str">
        <v>绿：CI下限≥−冻结容忍损失。
黄：CI跨护栏/窗口未成熟。
红：CI上限&lt;−容忍损失。</v>
      </c>
      <c r="G22" s="9" t="str">
        <v>绿：CI下限≥−冻结容忍损失。
黄：CI跨护栏/窗口未成熟。
红：CI上限&lt;−容忍损失。</v>
      </c>
      <c r="H22" s="9" t="str">
        <v>绿：课程挤出护栏可接受。
红：暂停，排查练习替代。</v>
      </c>
      <c r="I22" s="9" t="str">
        <v>绿：课程挤出护栏可接受。
红：暂停，排查练习替代。</v>
      </c>
      <c r="J22" s="3"/>
    </row>
    <row r="23" ht="45" customHeight="1">
      <c r="A23" s="3"/>
      <c r="B23" s="10" t="str">
        <v>投诉与技术失败护栏
未测 / 黄色</v>
      </c>
      <c r="C23" s="10" t="str">
        <v>投诉与技术失败护栏
未测 / 黄色</v>
      </c>
      <c r="D23" s="9" t="str">
        <v>工单、失败/重试事件。
投诉按分配账户；失败按尝试次数。严重事件独列。</v>
      </c>
      <c r="E23" s="9" t="str">
        <v>工单、失败/重试事件。
投诉按分配账户；失败按尝试次数。严重事件独列。</v>
      </c>
      <c r="F23" s="9" t="str">
        <v>绿：率CI上限≤冻结上限。
黄：缺报/CI跨上限。
红：率CI下限&gt;上限或严重事件。</v>
      </c>
      <c r="G23" s="9" t="str">
        <v>绿：率CI上限≤冻结上限。
黄：缺报/CI跨上限。
红：率CI下限&gt;上限或严重事件。</v>
      </c>
      <c r="H23" s="9" t="str">
        <v>红：立即暂停相关处理并排查。
不以成功完成者作分母。</v>
      </c>
      <c r="I23" s="9" t="str">
        <v>红：立即暂停相关处理并排查。
不以成功完成者作分母。</v>
      </c>
      <c r="J23" s="3"/>
    </row>
    <row r="24" ht="45" customHeight="1">
      <c r="A24" s="3"/>
      <c r="B24" s="10" t="str">
        <v>完整服务费用护栏
未测 / 黄色</v>
      </c>
      <c r="C24" s="10" t="str">
        <v>完整服务费用护栏
未测 / 黄色</v>
      </c>
      <c r="D24" s="9" t="str">
        <v>真实服务账单与事件映射。
双臂含对照、失败、重试及购买后调用，按全员核算。</v>
      </c>
      <c r="E24" s="9" t="str">
        <v>真实服务账单与事件映射。
双臂含对照、失败、重试及购买后调用，按全员核算。</v>
      </c>
      <c r="F24" s="9" t="str">
        <v>绿：完整投入上界≤批准预算。
黄：币种/账单/映射缺失。
红：突破预算或账单无法对账。</v>
      </c>
      <c r="G24" s="9" t="str">
        <v>绿：完整投入上界≤批准预算。
黄：币种/账单/映射缺失。
红：突破预算或账单无法对账。</v>
      </c>
      <c r="H24" s="9" t="str">
        <v>预算含服务、其他及新增F。
cap仅限赠送工作量。总费用另核。</v>
      </c>
      <c r="I24" s="9" t="str">
        <v>预算含服务、其他及新增F。
cap仅限赠送工作量。总费用另核。</v>
      </c>
      <c r="J24" s="3"/>
    </row>
    <row r="25" ht="45" customHeight="1">
      <c r="A25" s="3"/>
      <c r="B25" s="10" t="str">
        <v>经营与政策净值
未测 / 黄色</v>
      </c>
      <c r="C25" s="10" t="str">
        <v>经营与政策净值
未测 / 黄色</v>
      </c>
      <c r="D25" s="9" t="str">
        <v>同窗成熟账单、退款、费用。
Δv=(mT−mC)−(cT−cC)。互斥原层；其他层不设零。</v>
      </c>
      <c r="E25" s="9" t="str">
        <v>同窗成熟账单、退款、费用。
Δv=(mT−mC)−(cT−cC)。互斥原层；其他层不设零。</v>
      </c>
      <c r="F25" s="9" t="str">
        <v>绿：完整政策净值下界≥0且护栏过。
黄：传播/N/F缺失或CI跨0。
红：完整净值上界&lt;0。</v>
      </c>
      <c r="G25" s="9" t="str">
        <v>绿：完整政策净值下界≥0且护栏过。
黄：传播/N/F缺失或CI跨0。
红：完整净值上界&lt;0。</v>
      </c>
      <c r="H25" s="9" t="str">
        <v>盈利Scale需部署/曝光范围匹配。
教学投入另按批准预算与学习护栏。</v>
      </c>
      <c r="I25" s="9" t="str">
        <v>盈利Scale需部署/曝光范围匹配。
教学投入另按批准预算与学习护栏。</v>
      </c>
      <c r="J25" s="3"/>
    </row>
    <row r="26" ht="6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2.75" customHeight="1">
      <c r="A27" s="3"/>
      <c r="B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C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D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E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F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G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H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I27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J27" s="3"/>
    </row>
    <row r="28" ht="12.75" customHeight="1">
      <c r="A28" s="3"/>
      <c r="B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C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D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E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F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G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H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I28" s="3" t="str">
        <v>运营更新：拟在事件每日质检、费用按账单成熟度复核、学习与经营按各自冻结窗口评审。负责人由未来合作方指定。缺数据或窗口未成熟保持黄色，不用0值或绿色替代。</v>
      </c>
      <c r="J28" s="3"/>
    </row>
    <row r="29" ht="12.75" customHeight="1">
      <c r="A29" s="3"/>
      <c r="B29" s="3" t="str">
        <v>依据：Stage4 v2核算契约、Stage5决策卡与事件表。M011/M012仅作机制参考；旧M014的90天/USD不沿用。当前未执行、未联网刷新、未批准扩张。</v>
      </c>
      <c r="C29" s="3" t="str">
        <v>依据：Stage4 v2核算契约、Stage5决策卡与事件表。M011/M012仅作机制参考；旧M014的90天/USD不沿用。当前未执行、未联网刷新、未批准扩张。</v>
      </c>
      <c r="D29" s="3" t="str">
        <v>依据：Stage4 v2核算契约、Stage5决策卡与事件表。M011/M012仅作机制参考；旧M014的90天/USD不沿用。当前未执行、未联网刷新、未批准扩张。</v>
      </c>
      <c r="E29" s="3" t="str">
        <v>依据：Stage4 v2核算契约、Stage5决策卡与事件表。M011/M012仅作机制参考；旧M014的90天/USD不沿用。当前未执行、未联网刷新、未批准扩张。</v>
      </c>
      <c r="F29" s="3" t="str">
        <v>依据：Stage4 v2核算契约、Stage5决策卡与事件表。M011/M012仅作机制参考；旧M014的90天/USD不沿用。当前未执行、未联网刷新、未批准扩张。</v>
      </c>
      <c r="G29" s="3" t="str">
        <v>依据：Stage4 v2核算契约、Stage5决策卡与事件表。M011/M012仅作机制参考；旧M014的90天/USD不沿用。当前未执行、未联网刷新、未批准扩张。</v>
      </c>
      <c r="H29" s="3" t="str">
        <v>依据：Stage4 v2核算契约、Stage5决策卡与事件表。M011/M012仅作机制参考；旧M014的90天/USD不沿用。当前未执行、未联网刷新、未批准扩张。</v>
      </c>
      <c r="I29" s="3" t="str">
        <v>依据：Stage4 v2核算契约、Stage5决策卡与事件表。M011/M012仅作机制参考；旧M014的90天/USD不沿用。当前未执行、未联网刷新、未批准扩张。</v>
      </c>
      <c r="J29" s="3"/>
    </row>
    <row r="30" ht="12.75" customHeight="1">
      <c r="A30" s="3"/>
      <c r="B30" s="3" t="str">
        <v>依据：Stage4 v2核算契约、Stage5决策卡与事件表。M011/M012仅作机制参考；旧M014的90天/USD不沿用。当前未执行、未联网刷新、未批准扩张。</v>
      </c>
      <c r="C30" s="3" t="str">
        <v>依据：Stage4 v2核算契约、Stage5决策卡与事件表。M011/M012仅作机制参考；旧M014的90天/USD不沿用。当前未执行、未联网刷新、未批准扩张。</v>
      </c>
      <c r="D30" s="3" t="str">
        <v>依据：Stage4 v2核算契约、Stage5决策卡与事件表。M011/M012仅作机制参考；旧M014的90天/USD不沿用。当前未执行、未联网刷新、未批准扩张。</v>
      </c>
      <c r="E30" s="3" t="str">
        <v>依据：Stage4 v2核算契约、Stage5决策卡与事件表。M011/M012仅作机制参考；旧M014的90天/USD不沿用。当前未执行、未联网刷新、未批准扩张。</v>
      </c>
      <c r="F30" s="3" t="str">
        <v>依据：Stage4 v2核算契约、Stage5决策卡与事件表。M011/M012仅作机制参考；旧M014的90天/USD不沿用。当前未执行、未联网刷新、未批准扩张。</v>
      </c>
      <c r="G30" s="3" t="str">
        <v>依据：Stage4 v2核算契约、Stage5决策卡与事件表。M011/M012仅作机制参考；旧M014的90天/USD不沿用。当前未执行、未联网刷新、未批准扩张。</v>
      </c>
      <c r="H30" s="3" t="str">
        <v>依据：Stage4 v2核算契约、Stage5决策卡与事件表。M011/M012仅作机制参考；旧M014的90天/USD不沿用。当前未执行、未联网刷新、未批准扩张。</v>
      </c>
      <c r="I30" s="3" t="str">
        <v>依据：Stage4 v2核算契约、Stage5决策卡与事件表。M011/M012仅作机制参考；旧M014的90天/USD不沿用。当前未执行、未联网刷新、未批准扩张。</v>
      </c>
      <c r="J30" s="3"/>
    </row>
  </sheetData>
  <mergeCells>
    <mergeCell ref="B2:I2"/>
    <mergeCell ref="B3:I3"/>
    <mergeCell ref="B5:I5"/>
    <mergeCell ref="B6:I6"/>
    <mergeCell ref="B8:C8"/>
    <mergeCell ref="F8:G8"/>
    <mergeCell ref="D8:E8"/>
    <mergeCell ref="H8:I8"/>
    <mergeCell ref="B9:C9"/>
    <mergeCell ref="F9:G9"/>
    <mergeCell ref="D9:E9"/>
    <mergeCell ref="H9:I9"/>
    <mergeCell ref="B10:C10"/>
    <mergeCell ref="F10:G10"/>
    <mergeCell ref="D10:E10"/>
    <mergeCell ref="H10:I10"/>
    <mergeCell ref="B11:C11"/>
    <mergeCell ref="F11:G11"/>
    <mergeCell ref="D11:E11"/>
    <mergeCell ref="H11:I11"/>
    <mergeCell ref="B12:C12"/>
    <mergeCell ref="F12:G12"/>
    <mergeCell ref="D12:E12"/>
    <mergeCell ref="H12:I12"/>
    <mergeCell ref="B13:C13"/>
    <mergeCell ref="F13:G13"/>
    <mergeCell ref="D13:E13"/>
    <mergeCell ref="H13:I13"/>
    <mergeCell ref="B14:C14"/>
    <mergeCell ref="F14:G14"/>
    <mergeCell ref="D14:E14"/>
    <mergeCell ref="H14:I14"/>
    <mergeCell ref="B15:C15"/>
    <mergeCell ref="F15:G15"/>
    <mergeCell ref="D15:E15"/>
    <mergeCell ref="H15:I15"/>
    <mergeCell ref="B16:I16"/>
    <mergeCell ref="B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7:I28"/>
    <mergeCell ref="B29:I30"/>
  </mergeCells>
  <conditionalFormatting sqref="B5:I5">
    <cfRule type="expression" dxfId="3" priority="1">
      <formula>LEFT($B$5,2)="黄色"</formula>
    </cfRule>
    <cfRule type="expression" dxfId="4" priority="2">
      <formula>LEFT($B$5,2)="红色"</formula>
    </cfRule>
    <cfRule type="expression" dxfId="5" priority="3">
      <formula>LEFT($B$5,2)="绿色"</formula>
    </cfRule>
  </conditionalFormatting>
  <dataValidations count="4">
    <dataValidation type="list" sqref="D12">
      <formula1>"未核,通过,不通过"</formula1>
    </dataValidation>
    <dataValidation type="list" sqref="H12">
      <formula1>"未核,通过,不通过"</formula1>
    </dataValidation>
    <dataValidation type="list" sqref="D13">
      <formula1>"未核,通过,不通过"</formula1>
    </dataValidation>
    <dataValidation type="list" sqref="H13">
      <formula1>"未核,通过,不通过"</formula1>
    </dataValidation>
  </dataValidations>
  <printOptions horizontalCentered="1" headings="0" gridLines="0"/>
  <pageMargins left="0.25" right="0.25" top="0.22" bottom="0.28" header="0.1" footer="0.1"/>
  <pageSetup paperSize="9" orientation="landscape" fitToWidth="1" fitToHeight="1"/>
</worksheet>
</file>